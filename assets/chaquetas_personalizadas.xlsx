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 de Clientes" sheetId="1" state="visible" r:id="rId3"/>
    <sheet name="Análisis de Cos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<sst xmlns="http://schemas.openxmlformats.org/spreadsheetml/2006/main" count="106" uniqueCount="78">
  <si>
    <t xml:space="preserve">🏍️  CHAQUETAS PERSONALIZADAS — PEDIDOS DE CLIENTES</t>
  </si>
  <si>
    <t xml:space="preserve">Color de la chaqueta = Color de la moto favorita del cliente · Apellido bordado incluido</t>
  </si>
  <si>
    <t xml:space="preserve">N°</t>
  </si>
  <si>
    <t xml:space="preserve">Apellido</t>
  </si>
  <si>
    <t xml:space="preserve">Nombre</t>
  </si>
  <si>
    <t xml:space="preserve">Moto Favorita</t>
  </si>
  <si>
    <t xml:space="preserve">Color Chaqueta</t>
  </si>
  <si>
    <t xml:space="preserve">Talla</t>
  </si>
  <si>
    <t xml:space="preserve">Cantidad</t>
  </si>
  <si>
    <t xml:space="preserve">Costo Unit. (RD$)</t>
  </si>
  <si>
    <t xml:space="preserve">Precio Unit. (RD$)</t>
  </si>
  <si>
    <t xml:space="preserve">Total (RD$)</t>
  </si>
  <si>
    <t xml:space="preserve">Estado</t>
  </si>
  <si>
    <t xml:space="preserve">Martínez</t>
  </si>
  <si>
    <t xml:space="preserve">Carlos</t>
  </si>
  <si>
    <t xml:space="preserve">Kawasaki Ninja</t>
  </si>
  <si>
    <t xml:space="preserve">#00C853</t>
  </si>
  <si>
    <t xml:space="preserve">L</t>
  </si>
  <si>
    <t xml:space="preserve">Pendiente</t>
  </si>
  <si>
    <t xml:space="preserve">Rodríguez</t>
  </si>
  <si>
    <t xml:space="preserve">Ana</t>
  </si>
  <si>
    <t xml:space="preserve">Ducati Panigale</t>
  </si>
  <si>
    <t xml:space="preserve">#D32F2F</t>
  </si>
  <si>
    <t xml:space="preserve">M</t>
  </si>
  <si>
    <t xml:space="preserve">Pérez</t>
  </si>
  <si>
    <t xml:space="preserve">Luis</t>
  </si>
  <si>
    <t xml:space="preserve">Harley-Davidson</t>
  </si>
  <si>
    <t xml:space="preserve">#FF8F00</t>
  </si>
  <si>
    <t xml:space="preserve">XL</t>
  </si>
  <si>
    <t xml:space="preserve">García</t>
  </si>
  <si>
    <t xml:space="preserve">María</t>
  </si>
  <si>
    <t xml:space="preserve">BMW R1250</t>
  </si>
  <si>
    <t xml:space="preserve">#1565C0</t>
  </si>
  <si>
    <t xml:space="preserve">S</t>
  </si>
  <si>
    <t xml:space="preserve">Sánchez</t>
  </si>
  <si>
    <t xml:space="preserve">Pedro</t>
  </si>
  <si>
    <t xml:space="preserve">Yamaha R1</t>
  </si>
  <si>
    <t xml:space="preserve">#0D47A1</t>
  </si>
  <si>
    <t xml:space="preserve">López</t>
  </si>
  <si>
    <t xml:space="preserve">Sofía</t>
  </si>
  <si>
    <t xml:space="preserve">Honda CBR</t>
  </si>
  <si>
    <t xml:space="preserve">#B71C1C</t>
  </si>
  <si>
    <t xml:space="preserve">Torres</t>
  </si>
  <si>
    <t xml:space="preserve">Andrés</t>
  </si>
  <si>
    <t xml:space="preserve">Suzuki GSX</t>
  </si>
  <si>
    <t xml:space="preserve">#1B5E20</t>
  </si>
  <si>
    <t xml:space="preserve">Vargas</t>
  </si>
  <si>
    <t xml:space="preserve">Claudia</t>
  </si>
  <si>
    <t xml:space="preserve">KTM Duke</t>
  </si>
  <si>
    <t xml:space="preserve">#E65100</t>
  </si>
  <si>
    <t xml:space="preserve">TOTAL GENERAL</t>
  </si>
  <si>
    <t xml:space="preserve">📊  ANÁLISIS DE COSTOS — CHAQUETA PERSONALIZADA</t>
  </si>
  <si>
    <t xml:space="preserve">  COSTOS BASE DE PRODUCCIÓN (1 chaqueta)</t>
  </si>
  <si>
    <t xml:space="preserve">Concepto</t>
  </si>
  <si>
    <t xml:space="preserve">Costo (RD$)</t>
  </si>
  <si>
    <t xml:space="preserve">Tela y materiales</t>
  </si>
  <si>
    <t xml:space="preserve">Estampado / diseño</t>
  </si>
  <si>
    <t xml:space="preserve">Mano de obra</t>
  </si>
  <si>
    <t xml:space="preserve">COSTO TOTAL BASE</t>
  </si>
  <si>
    <t xml:space="preserve">  PRECIO DE VENTA (margen 40%)</t>
  </si>
  <si>
    <t xml:space="preserve">Margen de ganancia</t>
  </si>
  <si>
    <t xml:space="preserve">Precio de venta calculado</t>
  </si>
  <si>
    <t xml:space="preserve">Precio de venta sugerido</t>
  </si>
  <si>
    <t xml:space="preserve">  ESCENARIO: AUMENTO 15% EN MATERIALES</t>
  </si>
  <si>
    <t xml:space="preserve">Materiales originales</t>
  </si>
  <si>
    <t xml:space="preserve">Aumento (%)</t>
  </si>
  <si>
    <t xml:space="preserve">Nuevos materiales</t>
  </si>
  <si>
    <t xml:space="preserve">Nuevo costo total</t>
  </si>
  <si>
    <t xml:space="preserve">Impacto en costo</t>
  </si>
  <si>
    <t xml:space="preserve">  SOLUCIÓN ESTRATÉGICA</t>
  </si>
  <si>
    <t xml:space="preserve">Indicador</t>
  </si>
  <si>
    <t xml:space="preserve">Valor (RD$)</t>
  </si>
  <si>
    <t xml:space="preserve">Precio ajustado (nuevo)</t>
  </si>
  <si>
    <t xml:space="preserve">Precio sugerido competitivo</t>
  </si>
  <si>
    <t xml:space="preserve">Diferencia vs. precio original</t>
  </si>
  <si>
    <t xml:space="preserve">Ganancia neta nueva</t>
  </si>
  <si>
    <t xml:space="preserve">  REFERENCIA DE COLORES POR MOTO</t>
  </si>
  <si>
    <t xml:space="preserve">Moto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</si>
</sst>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D$&quot;#,##0"/>
    <numFmt numFmtId="166" formatCode="#,##0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F57F1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color rgb="FFB71C1C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212121"/>
        <bgColor rgb="FF003300"/>
      </patternFill>
    </fill>
    <fill>
      <patternFill patternType="solid">
        <fgColor rgb="FF37474F"/>
        <bgColor rgb="FF555555"/>
      </patternFill>
    </fill>
    <fill>
      <patternFill patternType="solid">
        <fgColor rgb="FFF5F5F5"/>
        <bgColor rgb="FFECEFF1"/>
      </patternFill>
    </fill>
    <fill>
      <patternFill patternType="solid">
        <fgColor rgb="FF00C853"/>
        <bgColor rgb="FF33CCCC"/>
      </patternFill>
    </fill>
    <fill>
      <patternFill patternType="solid">
        <fgColor rgb="FFFFF9C4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D32F2F"/>
        <bgColor rgb="FFB71C1C"/>
      </patternFill>
    </fill>
    <fill>
      <patternFill patternType="solid">
        <fgColor rgb="FFFF8F00"/>
        <bgColor rgb="FFF57F17"/>
      </patternFill>
    </fill>
    <fill>
      <patternFill patternType="solid">
        <fgColor rgb="FF1565C0"/>
        <bgColor rgb="FF1976D2"/>
      </patternFill>
    </fill>
    <fill>
      <patternFill patternType="solid">
        <fgColor rgb="FF0D47A1"/>
        <bgColor rgb="FF1565C0"/>
      </patternFill>
    </fill>
    <fill>
      <patternFill patternType="solid">
        <fgColor rgb="FFB71C1C"/>
        <bgColor rgb="FFD32F2F"/>
      </patternFill>
    </fill>
    <fill>
      <patternFill patternType="solid">
        <fgColor rgb="FF1B5E20"/>
        <bgColor rgb="FF37474F"/>
      </patternFill>
    </fill>
    <fill>
      <patternFill patternType="solid">
        <fgColor rgb="FFE65100"/>
        <bgColor rgb="FFD32F2F"/>
      </patternFill>
    </fill>
    <fill>
      <patternFill patternType="solid">
        <fgColor rgb="FF546E7A"/>
        <bgColor rgb="FF555555"/>
      </patternFill>
    </fill>
    <fill>
      <patternFill patternType="solid">
        <fgColor rgb="FFECEFF1"/>
        <bgColor rgb="FFE8F5E9"/>
      </patternFill>
    </fill>
    <fill>
      <patternFill patternType="solid">
        <fgColor rgb="FFCFD8DC"/>
        <bgColor rgb="FFCCCCCC"/>
      </patternFill>
    </fill>
    <fill>
      <patternFill patternType="solid">
        <fgColor rgb="FFE8F5E9"/>
        <bgColor rgb="FFECEFF1"/>
      </patternFill>
    </fill>
    <fill>
      <patternFill patternType="solid">
        <fgColor rgb="FFC8E6C9"/>
        <bgColor rgb="FFCFD8DC"/>
      </patternFill>
    </fill>
    <fill>
      <patternFill patternType="solid">
        <fgColor rgb="FFFFEBEE"/>
        <bgColor rgb="FFF5F5F5"/>
      </patternFill>
    </fill>
    <fill>
      <patternFill patternType="solid">
        <fgColor rgb="FFFFCDD2"/>
        <bgColor rgb="FFFFEBEE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ECEFF1"/>
      </patternFill>
    </fill>
    <fill>
      <patternFill patternType="solid">
        <fgColor rgb="FFBBDEFB"/>
        <bgColor rgb="FFCFD8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88888"/>
      <rgbColor rgb="FF9999FF"/>
      <rgbColor rgb="FFD32F2F"/>
      <rgbColor rgb="FFFFF9C4"/>
      <rgbColor rgb="FFE3F2FD"/>
      <rgbColor rgb="FF660066"/>
      <rgbColor rgb="FFF57F17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BBDEFB"/>
      <rgbColor rgb="FFFFEBEE"/>
      <rgbColor rgb="FFECEFF1"/>
      <rgbColor rgb="FFFFCDD2"/>
      <rgbColor rgb="FF1976D2"/>
      <rgbColor rgb="FF33CCCC"/>
      <rgbColor rgb="FF99CC00"/>
      <rgbColor rgb="FFFFCC00"/>
      <rgbColor rgb="FFFF8F00"/>
      <rgbColor rgb="FFE65100"/>
      <rgbColor rgb="FF546E7A"/>
      <rgbColor rgb="FF969696"/>
      <rgbColor rgb="FF0D47A1"/>
      <rgbColor rgb="FF00C853"/>
      <rgbColor rgb="FF003300"/>
      <rgbColor rgb="FF555555"/>
      <rgbColor rgb="FFB71C1C"/>
      <rgbColor rgb="FF993366"/>
      <rgbColor rgb="FF37474F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10" min="8" style="0" width="16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9.5" hidden="false" customHeight="true" outlineLevel="0" collapsed="false">
      <c r="A4" s="4" t="n">
        <v>1</v>
      </c>
      <c r="B4" s="5" t="s">
        <v>13</v>
      </c>
      <c r="C4" s="4" t="s">
        <v>14</v>
      </c>
      <c r="D4" s="6" t="s">
        <v>15</v>
      </c>
      <c r="E4" s="7" t="s">
        <v>16</v>
      </c>
      <c r="F4" s="4" t="s">
        <v>17</v>
      </c>
      <c r="G4" s="4" t="n">
        <v>1</v>
      </c>
      <c r="H4" s="8" t="n">
        <f aca="false">2500</f>
        <v>2500</v>
      </c>
      <c r="I4" s="8" t="n">
        <f aca="false">H4*(1+0.4)</f>
        <v>3500</v>
      </c>
      <c r="J4" s="8" t="n">
        <f aca="false">I4*G4</f>
        <v>3500</v>
      </c>
      <c r="K4" s="9" t="s">
        <v>18</v>
      </c>
    </row>
    <row r="5" customFormat="false" ht="19.5" hidden="false" customHeight="true" outlineLevel="0" collapsed="false">
      <c r="A5" s="10" t="n">
        <v>2</v>
      </c>
      <c r="B5" s="11" t="s">
        <v>19</v>
      </c>
      <c r="C5" s="10" t="s">
        <v>20</v>
      </c>
      <c r="D5" s="12" t="s">
        <v>21</v>
      </c>
      <c r="E5" s="13" t="s">
        <v>22</v>
      </c>
      <c r="F5" s="10" t="s">
        <v>23</v>
      </c>
      <c r="G5" s="10" t="n">
        <v>2</v>
      </c>
      <c r="H5" s="14" t="n">
        <f aca="false">2500</f>
        <v>2500</v>
      </c>
      <c r="I5" s="14" t="n">
        <f aca="false">H5*(1+0.4)</f>
        <v>3500</v>
      </c>
      <c r="J5" s="14" t="n">
        <f aca="false">I5*G5</f>
        <v>7000</v>
      </c>
      <c r="K5" s="9" t="s">
        <v>18</v>
      </c>
    </row>
    <row r="6" customFormat="false" ht="19.5" hidden="false" customHeight="true" outlineLevel="0" collapsed="false">
      <c r="A6" s="4" t="n">
        <v>3</v>
      </c>
      <c r="B6" s="5" t="s">
        <v>24</v>
      </c>
      <c r="C6" s="4" t="s">
        <v>25</v>
      </c>
      <c r="D6" s="15" t="s">
        <v>26</v>
      </c>
      <c r="E6" s="16" t="s">
        <v>27</v>
      </c>
      <c r="F6" s="4" t="s">
        <v>28</v>
      </c>
      <c r="G6" s="4" t="n">
        <v>1</v>
      </c>
      <c r="H6" s="8" t="n">
        <f aca="false">2500</f>
        <v>2500</v>
      </c>
      <c r="I6" s="8" t="n">
        <f aca="false">H6*(1+0.4)</f>
        <v>3500</v>
      </c>
      <c r="J6" s="8" t="n">
        <f aca="false">I6*G6</f>
        <v>3500</v>
      </c>
      <c r="K6" s="9" t="s">
        <v>18</v>
      </c>
    </row>
    <row r="7" customFormat="false" ht="19.5" hidden="false" customHeight="true" outlineLevel="0" collapsed="false">
      <c r="A7" s="10" t="n">
        <v>4</v>
      </c>
      <c r="B7" s="11" t="s">
        <v>29</v>
      </c>
      <c r="C7" s="10" t="s">
        <v>30</v>
      </c>
      <c r="D7" s="17" t="s">
        <v>31</v>
      </c>
      <c r="E7" s="18" t="s">
        <v>32</v>
      </c>
      <c r="F7" s="10" t="s">
        <v>33</v>
      </c>
      <c r="G7" s="10" t="n">
        <v>1</v>
      </c>
      <c r="H7" s="14" t="n">
        <f aca="false">2500</f>
        <v>2500</v>
      </c>
      <c r="I7" s="14" t="n">
        <f aca="false">H7*(1+0.4)</f>
        <v>3500</v>
      </c>
      <c r="J7" s="14" t="n">
        <f aca="false">I7*G7</f>
        <v>3500</v>
      </c>
      <c r="K7" s="9" t="s">
        <v>18</v>
      </c>
    </row>
    <row r="8" customFormat="false" ht="19.5" hidden="false" customHeight="true" outlineLevel="0" collapsed="false">
      <c r="A8" s="4" t="n">
        <v>5</v>
      </c>
      <c r="B8" s="5" t="s">
        <v>34</v>
      </c>
      <c r="C8" s="4" t="s">
        <v>35</v>
      </c>
      <c r="D8" s="19" t="s">
        <v>36</v>
      </c>
      <c r="E8" s="20" t="s">
        <v>37</v>
      </c>
      <c r="F8" s="4" t="s">
        <v>17</v>
      </c>
      <c r="G8" s="4" t="n">
        <v>3</v>
      </c>
      <c r="H8" s="8" t="n">
        <f aca="false">2500</f>
        <v>2500</v>
      </c>
      <c r="I8" s="8" t="n">
        <f aca="false">H8*(1+0.4)</f>
        <v>3500</v>
      </c>
      <c r="J8" s="8" t="n">
        <f aca="false">I8*G8</f>
        <v>10500</v>
      </c>
      <c r="K8" s="9" t="s">
        <v>18</v>
      </c>
    </row>
    <row r="9" customFormat="false" ht="19.5" hidden="false" customHeight="true" outlineLevel="0" collapsed="false">
      <c r="A9" s="10" t="n">
        <v>6</v>
      </c>
      <c r="B9" s="11" t="s">
        <v>38</v>
      </c>
      <c r="C9" s="10" t="s">
        <v>39</v>
      </c>
      <c r="D9" s="21" t="s">
        <v>40</v>
      </c>
      <c r="E9" s="22" t="s">
        <v>41</v>
      </c>
      <c r="F9" s="10" t="s">
        <v>23</v>
      </c>
      <c r="G9" s="10" t="n">
        <v>2</v>
      </c>
      <c r="H9" s="14" t="n">
        <f aca="false">2500</f>
        <v>2500</v>
      </c>
      <c r="I9" s="14" t="n">
        <f aca="false">H9*(1+0.4)</f>
        <v>3500</v>
      </c>
      <c r="J9" s="14" t="n">
        <f aca="false">I9*G9</f>
        <v>7000</v>
      </c>
      <c r="K9" s="9" t="s">
        <v>18</v>
      </c>
    </row>
    <row r="10" customFormat="false" ht="19.5" hidden="false" customHeight="true" outlineLevel="0" collapsed="false">
      <c r="A10" s="4" t="n">
        <v>7</v>
      </c>
      <c r="B10" s="5" t="s">
        <v>42</v>
      </c>
      <c r="C10" s="4" t="s">
        <v>43</v>
      </c>
      <c r="D10" s="23" t="s">
        <v>44</v>
      </c>
      <c r="E10" s="24" t="s">
        <v>45</v>
      </c>
      <c r="F10" s="4" t="s">
        <v>28</v>
      </c>
      <c r="G10" s="4" t="n">
        <v>1</v>
      </c>
      <c r="H10" s="8" t="n">
        <f aca="false">2500</f>
        <v>2500</v>
      </c>
      <c r="I10" s="8" t="n">
        <f aca="false">H10*(1+0.4)</f>
        <v>3500</v>
      </c>
      <c r="J10" s="8" t="n">
        <f aca="false">I10*G10</f>
        <v>3500</v>
      </c>
      <c r="K10" s="9" t="s">
        <v>18</v>
      </c>
    </row>
    <row r="11" customFormat="false" ht="19.5" hidden="false" customHeight="true" outlineLevel="0" collapsed="false">
      <c r="A11" s="10" t="n">
        <v>8</v>
      </c>
      <c r="B11" s="11" t="s">
        <v>46</v>
      </c>
      <c r="C11" s="10" t="s">
        <v>47</v>
      </c>
      <c r="D11" s="25" t="s">
        <v>48</v>
      </c>
      <c r="E11" s="26" t="s">
        <v>49</v>
      </c>
      <c r="F11" s="10" t="s">
        <v>33</v>
      </c>
      <c r="G11" s="10" t="n">
        <v>2</v>
      </c>
      <c r="H11" s="14" t="n">
        <f aca="false">2500</f>
        <v>2500</v>
      </c>
      <c r="I11" s="14" t="n">
        <f aca="false">H11*(1+0.4)</f>
        <v>3500</v>
      </c>
      <c r="J11" s="14" t="n">
        <f aca="false">I11*G11</f>
        <v>7000</v>
      </c>
      <c r="K11" s="9" t="s">
        <v>18</v>
      </c>
    </row>
    <row r="12" customFormat="false" ht="21.75" hidden="false" customHeight="true" outlineLevel="0" collapsed="false">
      <c r="A12" s="27" t="s">
        <v>50</v>
      </c>
      <c r="B12" s="27"/>
      <c r="C12" s="27"/>
      <c r="D12" s="27"/>
      <c r="E12" s="27"/>
      <c r="F12" s="27"/>
      <c r="G12" s="27"/>
      <c r="H12" s="28" t="n">
        <f aca="false">SUM(H4:H11)</f>
        <v>20000</v>
      </c>
      <c r="I12" s="28" t="n">
        <f aca="false">SUM(I4:I11)</f>
        <v>28000</v>
      </c>
      <c r="J12" s="28" t="n">
        <f aca="false">SUM(J4:J11)</f>
        <v>45500</v>
      </c>
      <c r="K12" s="29"/>
    </row>
  </sheetData>
  <mergeCells count="3">
    <mergeCell ref="A1:K1"/>
    <mergeCell ref="A2:K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30" t="s">
        <v>51</v>
      </c>
      <c r="B1" s="30"/>
      <c r="C1" s="30"/>
      <c r="D1" s="30"/>
      <c r="E1" s="30"/>
    </row>
    <row r="3" customFormat="false" ht="21.75" hidden="false" customHeight="true" outlineLevel="0" collapsed="false">
      <c r="A3" s="31" t="s">
        <v>52</v>
      </c>
      <c r="B3" s="31"/>
      <c r="C3" s="31"/>
      <c r="D3" s="31"/>
      <c r="E3" s="31"/>
    </row>
    <row r="4" customFormat="false" ht="19.5" hidden="false" customHeight="true" outlineLevel="0" collapsed="false">
      <c r="A4" s="32" t="s">
        <v>53</v>
      </c>
      <c r="B4" s="32" t="s">
        <v>54</v>
      </c>
    </row>
    <row r="5" customFormat="false" ht="19.5" hidden="false" customHeight="true" outlineLevel="0" collapsed="false">
      <c r="A5" s="33" t="s">
        <v>55</v>
      </c>
      <c r="B5" s="14" t="n">
        <v>1200</v>
      </c>
    </row>
    <row r="6" customFormat="false" ht="19.5" hidden="false" customHeight="true" outlineLevel="0" collapsed="false">
      <c r="A6" s="33" t="s">
        <v>56</v>
      </c>
      <c r="B6" s="14" t="n">
        <v>500</v>
      </c>
    </row>
    <row r="7" customFormat="false" ht="19.5" hidden="false" customHeight="true" outlineLevel="0" collapsed="false">
      <c r="A7" s="33" t="s">
        <v>57</v>
      </c>
      <c r="B7" s="14" t="n">
        <v>800</v>
      </c>
    </row>
    <row r="8" customFormat="false" ht="19.5" hidden="false" customHeight="true" outlineLevel="0" collapsed="false">
      <c r="A8" s="34" t="s">
        <v>58</v>
      </c>
      <c r="B8" s="35" t="n">
        <f aca="false">SUM(B5:B7)</f>
        <v>2500</v>
      </c>
    </row>
    <row r="9" customFormat="false" ht="19.5" hidden="false" customHeight="true" outlineLevel="0" collapsed="false"/>
    <row r="10" customFormat="false" ht="19.5" hidden="false" customHeight="true" outlineLevel="0" collapsed="false">
      <c r="A10" s="31" t="s">
        <v>59</v>
      </c>
      <c r="B10" s="31"/>
      <c r="C10" s="31"/>
      <c r="D10" s="31"/>
      <c r="E10" s="31"/>
    </row>
    <row r="11" customFormat="false" ht="19.5" hidden="false" customHeight="true" outlineLevel="0" collapsed="false">
      <c r="A11" s="33" t="s">
        <v>60</v>
      </c>
      <c r="B11" s="36" t="n">
        <v>0.4</v>
      </c>
    </row>
    <row r="12" customFormat="false" ht="19.5" hidden="false" customHeight="true" outlineLevel="0" collapsed="false">
      <c r="A12" s="33" t="s">
        <v>61</v>
      </c>
      <c r="B12" s="37" t="n">
        <f aca="false">B8*(1+B11)</f>
        <v>3500</v>
      </c>
    </row>
    <row r="13" customFormat="false" ht="19.5" hidden="false" customHeight="true" outlineLevel="0" collapsed="false">
      <c r="A13" s="33" t="s">
        <v>62</v>
      </c>
      <c r="B13" s="38" t="n">
        <v>3500</v>
      </c>
    </row>
    <row r="14" customFormat="false" ht="19.5" hidden="false" customHeight="true" outlineLevel="0" collapsed="false"/>
    <row r="15" customFormat="false" ht="19.5" hidden="false" customHeight="true" outlineLevel="0" collapsed="false">
      <c r="A15" s="39" t="s">
        <v>63</v>
      </c>
      <c r="B15" s="39"/>
      <c r="C15" s="39"/>
      <c r="D15" s="39"/>
      <c r="E15" s="39"/>
    </row>
    <row r="16" customFormat="false" ht="19.5" hidden="false" customHeight="true" outlineLevel="0" collapsed="false">
      <c r="A16" s="33" t="s">
        <v>64</v>
      </c>
      <c r="B16" s="14" t="n">
        <f aca="false">B5</f>
        <v>1200</v>
      </c>
    </row>
    <row r="17" customFormat="false" ht="19.5" hidden="false" customHeight="true" outlineLevel="0" collapsed="false">
      <c r="A17" s="33" t="s">
        <v>65</v>
      </c>
      <c r="B17" s="40" t="n">
        <v>0.15</v>
      </c>
    </row>
    <row r="18" customFormat="false" ht="19.5" hidden="false" customHeight="true" outlineLevel="0" collapsed="false">
      <c r="A18" s="33" t="s">
        <v>66</v>
      </c>
      <c r="B18" s="41" t="n">
        <f aca="false">B16*(1+B17)</f>
        <v>1380</v>
      </c>
    </row>
    <row r="19" customFormat="false" ht="19.5" hidden="false" customHeight="true" outlineLevel="0" collapsed="false">
      <c r="A19" s="33" t="s">
        <v>67</v>
      </c>
      <c r="B19" s="42" t="n">
        <f aca="false">B18+B6+B7</f>
        <v>2680</v>
      </c>
    </row>
    <row r="20" customFormat="false" ht="19.5" hidden="false" customHeight="true" outlineLevel="0" collapsed="false">
      <c r="A20" s="33" t="s">
        <v>68</v>
      </c>
      <c r="B20" s="43" t="n">
        <f aca="false">B19-B8</f>
        <v>180</v>
      </c>
    </row>
    <row r="21" customFormat="false" ht="19.5" hidden="false" customHeight="true" outlineLevel="0" collapsed="false"/>
    <row r="22" customFormat="false" ht="19.5" hidden="false" customHeight="true" outlineLevel="0" collapsed="false">
      <c r="A22" s="44" t="s">
        <v>69</v>
      </c>
      <c r="B22" s="44"/>
      <c r="C22" s="44"/>
      <c r="D22" s="44"/>
      <c r="E22" s="44"/>
    </row>
    <row r="23" customFormat="false" ht="19.5" hidden="false" customHeight="true" outlineLevel="0" collapsed="false">
      <c r="A23" s="45" t="s">
        <v>70</v>
      </c>
      <c r="B23" s="45" t="s">
        <v>71</v>
      </c>
    </row>
    <row r="24" customFormat="false" ht="19.5" hidden="false" customHeight="true" outlineLevel="0" collapsed="false">
      <c r="A24" s="33" t="s">
        <v>72</v>
      </c>
      <c r="B24" s="46" t="n">
        <f aca="false">B19*(1+B11)</f>
        <v>3752</v>
      </c>
    </row>
    <row r="25" customFormat="false" ht="19.5" hidden="false" customHeight="true" outlineLevel="0" collapsed="false">
      <c r="A25" s="33" t="s">
        <v>73</v>
      </c>
      <c r="B25" s="47" t="n">
        <v>3700</v>
      </c>
    </row>
    <row r="26" customFormat="false" ht="19.5" hidden="false" customHeight="true" outlineLevel="0" collapsed="false">
      <c r="A26" s="33" t="s">
        <v>74</v>
      </c>
      <c r="B26" s="47" t="n">
        <f aca="false">B25-B13</f>
        <v>200</v>
      </c>
    </row>
    <row r="27" customFormat="false" ht="19.5" hidden="false" customHeight="true" outlineLevel="0" collapsed="false">
      <c r="A27" s="33" t="s">
        <v>75</v>
      </c>
      <c r="B27" s="46" t="n">
        <f aca="false">B25-B19</f>
        <v>1020</v>
      </c>
    </row>
    <row r="28" customFormat="false" ht="19.5" hidden="false" customHeight="true" outlineLevel="0" collapsed="false">
      <c r="D28" s="31" t="s">
        <v>76</v>
      </c>
      <c r="E28" s="31"/>
    </row>
    <row r="29" customFormat="false" ht="19.5" hidden="false" customHeight="true" outlineLevel="0" collapsed="false">
      <c r="D29" s="32" t="s">
        <v>77</v>
      </c>
      <c r="E29" s="32" t="s">
        <v>6</v>
      </c>
    </row>
    <row r="30" customFormat="false" ht="15" hidden="false" customHeight="false" outlineLevel="0" collapsed="false">
      <c r="D30" s="48" t="s">
        <v>15</v>
      </c>
      <c r="E30" s="7" t="s">
        <v>16</v>
      </c>
    </row>
    <row r="31" customFormat="false" ht="15" hidden="false" customHeight="false" outlineLevel="0" collapsed="false">
      <c r="D31" s="49" t="s">
        <v>21</v>
      </c>
      <c r="E31" s="13" t="s">
        <v>22</v>
      </c>
    </row>
    <row r="32" customFormat="false" ht="15" hidden="false" customHeight="false" outlineLevel="0" collapsed="false">
      <c r="D32" s="50" t="s">
        <v>26</v>
      </c>
      <c r="E32" s="16" t="s">
        <v>27</v>
      </c>
    </row>
    <row r="33" customFormat="false" ht="15" hidden="false" customHeight="false" outlineLevel="0" collapsed="false">
      <c r="D33" s="51" t="s">
        <v>31</v>
      </c>
      <c r="E33" s="18" t="s">
        <v>32</v>
      </c>
    </row>
    <row r="34" customFormat="false" ht="15" hidden="false" customHeight="false" outlineLevel="0" collapsed="false">
      <c r="D34" s="52" t="s">
        <v>36</v>
      </c>
      <c r="E34" s="20" t="s">
        <v>37</v>
      </c>
    </row>
    <row r="35" customFormat="false" ht="15" hidden="false" customHeight="false" outlineLevel="0" collapsed="false">
      <c r="D35" s="53" t="s">
        <v>40</v>
      </c>
      <c r="E35" s="22" t="s">
        <v>41</v>
      </c>
    </row>
    <row r="36" customFormat="false" ht="15" hidden="false" customHeight="false" outlineLevel="0" collapsed="false">
      <c r="D36" s="54" t="s">
        <v>44</v>
      </c>
      <c r="E36" s="24" t="s">
        <v>45</v>
      </c>
    </row>
    <row r="37" customFormat="false" ht="15" hidden="false" customHeight="false" outlineLevel="0" collapsed="false">
      <c r="D37" s="55" t="s">
        <v>48</v>
      </c>
      <c r="E37" s="26" t="s">
        <v>49</v>
      </c>
    </row>
  </sheetData>
  <mergeCells count="6">
    <mergeCell ref="A1:E1"/>
    <mergeCell ref="A3:E3"/>
    <mergeCell ref="A10:E10"/>
    <mergeCell ref="A15:E15"/>
    <mergeCell ref="A22:E22"/>
    <mergeCell ref="D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2026-04-27T23:53:43Z</dcterms:created>
  <dc:creator>openpyxl</dc:creator>
  <dc:description/>
  <dc:language>en-US</dc:language>
  <cp:lastModifiedBy/>
  <dcterms:modified xsi:type="dcterms:W3CDTF">2026-04-27T23:53:43Z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